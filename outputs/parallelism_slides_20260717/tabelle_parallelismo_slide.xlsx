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1e177b239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odo" sheetId="1" r:id="R40abf1c3bc6e4ca0"/>
    <x:sheet xmlns:r="http://schemas.openxmlformats.org/officeDocument/2006/relationships" name="Risultati" sheetId="2" r:id="R327b66e7917b423b"/>
    <x:sheet xmlns:r="http://schemas.openxmlformats.org/officeDocument/2006/relationships" name="Dati grafico" sheetId="3" r:id="Rc891da777cb0460d"/>
    <x:sheet xmlns:r="http://schemas.openxmlformats.org/officeDocument/2006/relationships" name="Tabelle slide" sheetId="4" r:id="R708fd45641c9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"/>
    <x:numFmt numFmtId="202" formatCode="0.0%"/>
    <x:numFmt numFmtId="203" formatCode="0.00x"/>
    <x:numFmt numFmtId="204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i/>
      <x:sz val="11"/>
      <x:color rgb="FF17324D"/>
      <x:name val="Carlito"/>
    </x:font>
    <x:font>
      <x:i/>
      <x:sz val="11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75B6"/>
      </x:patternFill>
    </x:fill>
    <x:fill>
      <x:patternFill patternType="solid">
        <x:fgColor rgb="FFFFF4D6"/>
      </x:patternFill>
    </x:fill>
    <x:fill>
      <x:patternFill patternType="solid">
        <x:fgColor rgb="FFF3F7FB"/>
      </x:patternFill>
    </x:fill>
    <x:fill>
      <x:patternFill patternType="solid">
        <x:fgColor rgb="FFE8F3EC"/>
      </x:patternFill>
    </x:fill>
    <x:fill>
      <x:patternFill patternType="solid">
        <x:fgColor rgb="FFDCEAF7"/>
      </x:patternFill>
    </x:fill>
  </x:fills>
  <x:borders count="18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left style="thin">
        <x:color rgb="FFD9A441"/>
      </x:left>
      <x:top style="thin">
        <x:color rgb="FFD9A441"/>
      </x:top>
      <x:bottom style="thin">
        <x:color rgb="FFD9A441"/>
      </x:bottom>
    </x:border>
    <x:border>
      <x:top style="thin">
        <x:color rgb="FFD9A441"/>
      </x:top>
      <x:bottom style="thin">
        <x:color rgb="FFD9A441"/>
      </x:bottom>
    </x:border>
    <x:border>
      <x:right style="thin">
        <x:color rgb="FFD9A441"/>
      </x:right>
      <x:top style="thin">
        <x:color rgb="FFD9A441"/>
      </x:top>
      <x:bottom style="thin">
        <x:color rgb="FFD9A441"/>
      </x:bottom>
    </x:border>
    <x:border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17324D"/>
      </x:left>
      <x:top style="thin">
        <x:color rgb="FF17324D"/>
      </x:top>
      <x:bottom style="thin">
        <x:color rgb="FFE4E7EC"/>
      </x:bottom>
    </x:border>
    <x:border>
      <x:top style="thin">
        <x:color rgb="FF17324D"/>
      </x:top>
      <x:bottom style="thin">
        <x:color rgb="FFE4E7EC"/>
      </x:bottom>
    </x:border>
    <x:border>
      <x:left style="thin">
        <x:color rgb="FF17324D"/>
      </x:left>
      <x:top style="thin">
        <x:color rgb="FFE4E7EC"/>
      </x:top>
      <x:bottom style="thin">
        <x:color rgb="FFE4E7EC"/>
      </x:bottom>
    </x:border>
    <x:border>
      <x:left style="thin">
        <x:color rgb="FF17324D"/>
      </x:left>
      <x:top style="thin">
        <x:color rgb="FFE4E7EC"/>
      </x:top>
      <x:bottom style="thin">
        <x:color rgb="FF17324D"/>
      </x:bottom>
    </x:border>
    <x:border>
      <x:top style="thin">
        <x:color rgb="FFE4E7EC"/>
      </x:top>
      <x:bottom style="thin">
        <x:color rgb="FF17324D"/>
      </x:bottom>
    </x:border>
  </x:borders>
  <x:cellStyleXfs count="1">
    <x:xf numFmtId="0" fontId="0" fillId="0" borderId="0"/>
  </x:cellStyleXfs>
  <x:cellXfs count="1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4" xfId="0" applyNumberFormat="1" applyFont="1" applyFill="1" applyBorder="1"/>
    <x:xf numFmtId="0" fontId="3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203" fontId="0" fillId="6" borderId="0" xfId="0" applyNumberFormat="1" applyFont="1" applyFill="1" applyBorder="1"/>
    <x:xf numFmtId="0" fontId="3" fillId="5" borderId="4" xfId="0" applyNumberFormat="1" applyFont="1" applyFill="1" applyBorder="1"/>
    <x:xf numFmtId="0" fontId="0" fillId="5" borderId="4" xfId="0" applyNumberFormat="1" applyFont="1" applyFill="1" applyBorder="1"/>
    <x:xf numFmtId="200" fontId="0" fillId="5" borderId="4" xfId="0" applyNumberFormat="1" applyFont="1" applyFill="1" applyBorder="1"/>
    <x:xf numFmtId="201" fontId="0" fillId="5" borderId="4" xfId="0" applyNumberFormat="1" applyFont="1" applyFill="1" applyBorder="1"/>
    <x:xf numFmtId="202" fontId="0" fillId="5" borderId="4" xfId="0" applyNumberFormat="1" applyFont="1" applyFill="1" applyBorder="1"/>
    <x:xf numFmtId="203" fontId="0" fillId="5" borderId="4" xfId="0" applyNumberFormat="1" applyFont="1" applyFill="1" applyBorder="1"/>
    <x:xf numFmtId="0" fontId="3" fillId="5" borderId="5" xfId="0" applyNumberFormat="1" applyFont="1" applyFill="1" applyBorder="1"/>
    <x:xf numFmtId="0" fontId="0" fillId="5" borderId="5" xfId="0" applyNumberFormat="1" applyFont="1" applyFill="1" applyBorder="1"/>
    <x:xf numFmtId="200" fontId="0" fillId="5" borderId="5" xfId="0" applyNumberFormat="1" applyFont="1" applyFill="1" applyBorder="1"/>
    <x:xf numFmtId="201" fontId="0" fillId="5" borderId="5" xfId="0" applyNumberFormat="1" applyFont="1" applyFill="1" applyBorder="1"/>
    <x:xf numFmtId="202" fontId="0" fillId="5" borderId="5" xfId="0" applyNumberFormat="1" applyFont="1" applyFill="1" applyBorder="1"/>
    <x:xf numFmtId="203" fontId="0" fillId="5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3" fillId="6" borderId="5" xfId="0" applyNumberFormat="1" applyFont="1" applyFill="1" applyBorder="1"/>
    <x:xf numFmtId="0" fontId="0" fillId="6" borderId="5" xfId="0" applyNumberFormat="1" applyFont="1" applyFill="1" applyBorder="1"/>
    <x:xf numFmtId="200" fontId="0" fillId="6" borderId="5" xfId="0" applyNumberFormat="1" applyFont="1" applyFill="1" applyBorder="1"/>
    <x:xf numFmtId="201" fontId="0" fillId="6" borderId="5" xfId="0" applyNumberFormat="1" applyFont="1" applyFill="1" applyBorder="1"/>
    <x:xf numFmtId="202" fontId="0" fillId="6" borderId="5" xfId="0" applyNumberFormat="1" applyFont="1" applyFill="1" applyBorder="1"/>
    <x:xf numFmtId="203" fontId="0" fillId="6" borderId="5" xfId="0" applyNumberFormat="1" applyFont="1" applyFill="1" applyBorder="1"/>
    <x:xf numFmtId="0" fontId="3" fillId="6" borderId="9" xfId="0" applyNumberFormat="1" applyFont="1" applyFill="1" applyBorder="1"/>
    <x:xf numFmtId="0" fontId="0" fillId="6" borderId="9" xfId="0" applyNumberFormat="1" applyFont="1" applyFill="1" applyBorder="1"/>
    <x:xf numFmtId="200" fontId="0" fillId="6" borderId="9" xfId="0" applyNumberFormat="1" applyFont="1" applyFill="1" applyBorder="1"/>
    <x:xf numFmtId="201" fontId="0" fillId="6" borderId="9" xfId="0" applyNumberFormat="1" applyFont="1" applyFill="1" applyBorder="1"/>
    <x:xf numFmtId="202" fontId="0" fillId="6" borderId="9" xfId="0" applyNumberFormat="1" applyFont="1" applyFill="1" applyBorder="1"/>
    <x:xf numFmtId="203" fontId="0" fillId="6" borderId="9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203" fontId="0" fillId="0" borderId="1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1" xfId="0" applyNumberFormat="1" applyFont="1" applyFill="1" applyBorder="1"/>
    <x:xf numFmtId="0" fontId="3" fillId="7" borderId="5" xfId="0" applyNumberFormat="1" applyFont="1" applyFill="1" applyBorder="1"/>
    <x:xf numFmtId="0" fontId="3" fillId="7" borderId="12" xfId="0" applyNumberFormat="1" applyFont="1" applyFill="1" applyBorder="1"/>
    <x:xf numFmtId="0" fontId="3" fillId="7" borderId="11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3" fillId="7" borderId="12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6" borderId="11" xfId="0" applyNumberFormat="1" applyFont="1" applyFill="1" applyBorder="1"/>
    <x:xf numFmtId="0" fontId="3" fillId="6" borderId="12" xfId="0" applyNumberFormat="1" applyFont="1" applyFill="1" applyBorder="1"/>
    <x:xf numFmtId="0" fontId="3" fillId="6" borderId="11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12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3" fillId="0" borderId="10" xfId="0" applyNumberFormat="1" applyFont="1" applyFill="1" applyBorder="1"/>
    <x:xf numFmtId="201" fontId="0" fillId="0" borderId="10" xfId="0" applyNumberFormat="1" applyFont="1" applyFill="1" applyBorder="1"/>
    <x:xf numFmtId="204" fontId="0" fillId="0" borderId="10" xfId="0" applyNumberFormat="1" applyFont="1" applyFill="1" applyBorder="1"/>
    <x:xf numFmtId="0" fontId="3" fillId="6" borderId="10" xfId="0" applyNumberFormat="1" applyFont="1" applyFill="1" applyBorder="1"/>
    <x:xf numFmtId="201" fontId="0" fillId="6" borderId="10" xfId="0" applyNumberFormat="1" applyFont="1" applyFill="1" applyBorder="1"/>
    <x:xf numFmtId="203" fontId="0" fillId="6" borderId="10" xfId="0" applyNumberFormat="1" applyFont="1" applyFill="1" applyBorder="1"/>
    <x:xf numFmtId="204" fontId="0" fillId="6" borderId="10" xfId="0" applyNumberFormat="1" applyFont="1" applyFill="1" applyBorder="1"/>
    <x:xf numFmtId="0" fontId="3" fillId="4" borderId="0" xfId="0" applyNumberFormat="1" applyFont="1" applyFill="1" applyBorder="1"/>
    <x:xf numFmtId="0" fontId="3" fillId="4" borderId="11" xfId="0" applyNumberFormat="1" applyFont="1" applyFill="1" applyBorder="1"/>
    <x:xf numFmtId="0" fontId="3" fillId="4" borderId="5" xfId="0" applyNumberFormat="1" applyFont="1" applyFill="1" applyBorder="1"/>
    <x:xf numFmtId="0" fontId="3" fillId="4" borderId="12" xfId="0" applyNumberFormat="1" applyFont="1" applyFill="1" applyBorder="1"/>
    <x:xf numFmtId="0" fontId="3" fillId="4" borderId="11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/>
    <x:xf numFmtId="202" fontId="0" fillId="0" borderId="10" xfId="0" applyNumberFormat="1" applyFont="1" applyFill="1" applyBorder="1"/>
    <x:xf numFmtId="0" fontId="0" fillId="6" borderId="10" xfId="0" applyNumberFormat="1" applyFont="1" applyFill="1" applyBorder="1"/>
    <x:xf numFmtId="200" fontId="0" fillId="6" borderId="10" xfId="0" applyNumberFormat="1" applyFont="1" applyFill="1" applyBorder="1"/>
    <x:xf numFmtId="202" fontId="0" fillId="6" borderId="1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/>
    </x:xf>
    <x:xf numFmtId="0" fontId="3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204" fontId="0" fillId="0" borderId="10" xfId="0" applyNumberFormat="1" applyFont="1" applyFill="1" applyBorder="1" applyAlignment="1">
      <x:alignment vertical="center"/>
    </x:xf>
    <x:xf numFmtId="0" fontId="3" fillId="6" borderId="10" xfId="0" applyNumberFormat="1" applyFont="1" applyFill="1" applyBorder="1" applyAlignment="1">
      <x:alignment vertical="center"/>
    </x:xf>
    <x:xf numFmtId="201" fontId="0" fillId="6" borderId="10" xfId="0" applyNumberFormat="1" applyFont="1" applyFill="1" applyBorder="1" applyAlignment="1">
      <x:alignment vertical="center"/>
    </x:xf>
    <x:xf numFmtId="203" fontId="0" fillId="6" borderId="10" xfId="0" applyNumberFormat="1" applyFont="1" applyFill="1" applyBorder="1" applyAlignment="1">
      <x:alignment vertical="center"/>
    </x:xf>
    <x:xf numFmtId="204" fontId="0" fillId="6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0" fontId="0" fillId="6" borderId="10" xfId="0" applyNumberFormat="1" applyFont="1" applyFill="1" applyBorder="1" applyAlignment="1">
      <x:alignment vertical="center"/>
    </x:xf>
    <x:xf numFmtId="200" fontId="0" fillId="6" borderId="10" xfId="0" applyNumberFormat="1" applyFont="1" applyFill="1" applyBorder="1" applyAlignment="1">
      <x:alignment vertical="center"/>
    </x:xf>
    <x:xf numFmtId="202" fontId="0" fillId="6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72c1e017d45f5" /><Relationship Type="http://schemas.openxmlformats.org/officeDocument/2006/relationships/theme" Target="/xl/theme/theme1.xml" Id="R0884147b76a848f2" /><Relationship Type="http://schemas.openxmlformats.org/officeDocument/2006/relationships/sharedStrings" Target="/xl/sharedStrings.xml" Id="Rd0bf9ae016eb4b77" /><Relationship Type="http://schemas.openxmlformats.org/officeDocument/2006/relationships/worksheet" Target="/xl/worksheets/sheet1.xml" Id="R40abf1c3bc6e4ca0" /><Relationship Type="http://schemas.openxmlformats.org/officeDocument/2006/relationships/worksheet" Target="/xl/worksheets/sheet2.xml" Id="R327b66e7917b423b" /><Relationship Type="http://schemas.openxmlformats.org/officeDocument/2006/relationships/worksheet" Target="/xl/worksheets/sheet3.xml" Id="Rc891da777cb0460d" /><Relationship Type="http://schemas.openxmlformats.org/officeDocument/2006/relationships/worksheet" Target="/xl/worksheets/sheet4.xml" Id="R708fd45641c942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0" hidden="0" customWidth="1"/>
    <x:col min="3" max="3" width="46" hidden="0" customWidth="1"/>
    <x:col min="4" max="4" width="43" hidden="0" customWidth="1"/>
  </x:cols>
  <x:sheetData>
    <x:row r="1" ht="30" customHeight="1">
      <x:c r="A1" s="4" t="str">
        <x:v>Parallelismo — configurazione sperimentale</x:v>
      </x:c>
      <x:c r="B1" s="4" t="str">
        <x:v>Parallelismo — configurazione sperimentale</x:v>
      </x:c>
      <x:c r="C1" s="4" t="str">
        <x:v>Parallelismo — configurazione sperimentale</x:v>
      </x:c>
      <x:c r="D1" s="4" t="str">
        <x:v>Parallelismo — configurazione sperimentale</x:v>
      </x:c>
    </x:row>
    <x:row r="2">
      <x:c r="A2" s="34"/>
      <x:c r="B2" s="34"/>
      <x:c r="C2" s="34"/>
      <x:c r="D2" s="34"/>
    </x:row>
    <x:row r="3" ht="28" customHeight="1">
      <x:c r="A3" s="16" t="str">
        <x:v>Aspetto</x:v>
      </x:c>
      <x:c r="B3" s="17" t="str">
        <x:v>Valore</x:v>
      </x:c>
      <x:c r="C3" s="17" t="str">
        <x:v>Perché</x:v>
      </x:c>
      <x:c r="D3" s="18" t="str">
        <x:v>Fonte</x:v>
      </x:c>
    </x:row>
    <x:row r="4">
      <x:c r="A4" s="35" t="str">
        <x:v>Dataset</x:v>
      </x:c>
      <x:c r="B4" s="36" t="n">
        <x:v>2229457</x:v>
      </x:c>
      <x:c r="C4" s="37" t="str">
        <x:v>Stesso input per ogni esecuzione</x:v>
      </x:c>
      <x:c r="D4" s="37" t="str">
        <x:v>Results/Esperimenti parallelismo/perf.csv</x:v>
      </x:c>
    </x:row>
    <x:row r="5">
      <x:c r="A5" s="38" t="str">
        <x:v>Modalità</x:v>
      </x:c>
      <x:c r="B5" s="39" t="str">
        <x:v>Backlog Kafka pre-caricato</x:v>
      </x:c>
      <x:c r="C5" s="39" t="str">
        <x:v>Il producer non limita il motore</x:v>
      </x:c>
      <x:c r="D5" s="39" t="str">
        <x:v>scripts/run_partition_matrix.ps1</x:v>
      </x:c>
    </x:row>
    <x:row r="6">
      <x:c r="A6" s="38" t="str">
        <x:v>Producer durante la misura</x:v>
      </x:c>
      <x:c r="B6" s="39" t="str">
        <x:v>No</x:v>
      </x:c>
      <x:c r="C6" s="39" t="str">
        <x:v>La query drena il topic già pieno</x:v>
      </x:c>
      <x:c r="D6" s="39" t="str">
        <x:v>scripts/run_partition_matrix.ps1</x:v>
      </x:c>
    </x:row>
    <x:row r="7">
      <x:c r="A7" s="38" t="str">
        <x:v>Configurazioni</x:v>
      </x:c>
      <x:c r="B7" s="39" t="str">
        <x:v>p1/n1; p2/n2; p4/n4</x:v>
      </x:c>
      <x:c r="C7" s="39" t="str">
        <x:v>Parallelismo Flink e partizioni crescono insieme</x:v>
      </x:c>
      <x:c r="D7" s="39" t="str">
        <x:v>config/experiments/p*_n*.yml</x:v>
      </x:c>
    </x:row>
    <x:row r="8">
      <x:c r="A8" s="38" t="str">
        <x:v>Cluster Flink</x:v>
      </x:c>
      <x:c r="B8" s="39" t="str">
        <x:v>1 TaskManager, 8 slot</x:v>
      </x:c>
      <x:c r="C8" s="39" t="str">
        <x:v>Parallelismo intra-nodo</x:v>
      </x:c>
      <x:c r="D8" s="39" t="str">
        <x:v>docker-compose.yml</x:v>
      </x:c>
    </x:row>
    <x:row r="9">
      <x:c r="A9" s="38" t="str">
        <x:v>Q1</x:v>
      </x:c>
      <x:c r="B9" s="39" t="str">
        <x:v>Finestra 1h</x:v>
      </x:c>
      <x:c r="C9" s="39" t="str">
        <x:v>Table API / SQL</x:v>
      </x:c>
      <x:c r="D9" s="39" t="str">
        <x:v>flink_jobs/q1/job.py</x:v>
      </x:c>
    </x:row>
    <x:row r="10">
      <x:c r="A10" s="38" t="str">
        <x:v>Q2</x:v>
      </x:c>
      <x:c r="B10" s="39" t="str">
        <x:v>Finestra 1h</x:v>
      </x:c>
      <x:c r="C10" s="39" t="str">
        <x:v>Table API / SQL + Top-10</x:v>
      </x:c>
      <x:c r="D10" s="39" t="str">
        <x:v>flink_jobs/q2/window_ops.py</x:v>
      </x:c>
    </x:row>
    <x:row r="11">
      <x:c r="A11" s="38" t="str">
        <x:v>Q3</x:v>
      </x:c>
      <x:c r="B11" s="39" t="str">
        <x:v>Finestra 1d</x:v>
      </x:c>
      <x:c r="C11" s="39" t="str">
        <x:v>DataStream API + DDSketch</x:v>
      </x:c>
      <x:c r="D11" s="39" t="str">
        <x:v>flink_jobs/q3/job.py</x:v>
      </x:c>
    </x:row>
    <x:row r="12">
      <x:c r="A12" s="38" t="str">
        <x:v>Metrica principale</x:v>
      </x:c>
      <x:c r="B12" s="39" t="str">
        <x:v>elapsed_ms</x:v>
      </x:c>
      <x:c r="C12" s="39" t="str">
        <x:v>Tempo di crescita del contatore della Kafka Source</x:v>
      </x:c>
      <x:c r="D12" s="39" t="str">
        <x:v>scripts/report_perf.py</x:v>
      </x:c>
    </x:row>
    <x:row r="13">
      <x:c r="A13" s="34"/>
      <x:c r="B13" s="34"/>
      <x:c r="C13" s="34"/>
      <x:c r="D13" s="34"/>
    </x:row>
    <x:row r="14" ht="42" customHeight="1">
      <x:c r="A14" s="40" t="str">
        <x:v>Nota: il test misura la scalabilità della pipeline sulla piattaforma di riferimento; non isola il solo effetto di p e non rappresenta scale-out multi-nodo.</x:v>
      </x:c>
      <x:c r="B14" s="41"/>
      <x:c r="C14" s="41"/>
      <x:c r="D14" s="42"/>
    </x:row>
  </x:sheetData>
  <x:mergeCells>
    <x:mergeCell ref="A1:D1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" hidden="0" customWidth="1"/>
    <x:col min="3" max="3" width="6" hidden="0" customWidth="1"/>
    <x:col min="4" max="4" width="14" hidden="0" customWidth="1"/>
    <x:col min="5" max="5" width="15" hidden="0" customWidth="1"/>
    <x:col min="6" max="6" width="13" hidden="0" customWidth="1"/>
    <x:col min="7" max="7" width="23" hidden="0" customWidth="1"/>
    <x:col min="8" max="8" width="17" hidden="0" customWidth="1"/>
    <x:col min="9" max="9" width="17" hidden="0" customWidth="1"/>
    <x:col min="10" max="10" width="12" hidden="0" customWidth="1"/>
    <x:col min="11" max="11" width="13" hidden="0" customWidth="1"/>
    <x:col min="12" max="12" width="17" hidden="0" customWidth="1"/>
  </x:cols>
  <x:sheetData>
    <x:row r="1" ht="30" customHeight="1">
      <x:c r="A1" s="4" t="str">
        <x:v>Parallelismo — risultati e metriche derivate</x:v>
      </x:c>
      <x:c r="B1" s="4" t="str">
        <x:v>Parallelismo — risultati e metriche derivate</x:v>
      </x:c>
      <x:c r="C1" s="4" t="str">
        <x:v>Parallelismo — risultati e metriche derivate</x:v>
      </x:c>
      <x:c r="D1" s="4" t="str">
        <x:v>Parallelismo — risultati e metriche derivate</x:v>
      </x:c>
      <x:c r="E1" s="4" t="str">
        <x:v>Parallelismo — risultati e metriche derivate</x:v>
      </x:c>
      <x:c r="F1" s="4" t="str">
        <x:v>Parallelismo — risultati e metriche derivate</x:v>
      </x:c>
      <x:c r="G1" s="4" t="str">
        <x:v>Parallelismo — risultati e metriche derivate</x:v>
      </x:c>
      <x:c r="H1" s="4" t="str">
        <x:v>Parallelismo — risultati e metriche derivate</x:v>
      </x:c>
      <x:c r="I1" s="4" t="str">
        <x:v>Parallelismo — risultati e metriche derivate</x:v>
      </x:c>
      <x:c r="J1" s="4" t="str">
        <x:v>Parallelismo — risultati e metriche derivate</x:v>
      </x:c>
      <x:c r="K1" s="4" t="str">
        <x:v>Parallelismo — risultati e metriche derivate</x:v>
      </x:c>
      <x:c r="L1" s="4" t="str">
        <x:v>Parallelismo — risultati e metriche derivate</x:v>
      </x:c>
    </x:row>
    <x:row r="2">
      <x:c r="A2" s="44" t="str">
        <x:v>Throughput effettivo = record / tempo di drain; speedup = tempo p1 / tempo corrente; efficienza = speedup / p.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</x:row>
    <x:row r="4" ht="28" customHeight="1">
      <x:c r="A4" s="16" t="str">
        <x:v>Query</x:v>
      </x:c>
      <x:c r="B4" s="17" t="str">
        <x:v>p</x:v>
      </x:c>
      <x:c r="C4" s="17" t="str">
        <x:v>n</x:v>
      </x:c>
      <x:c r="D4" s="17" t="str">
        <x:v>Record</x:v>
      </x:c>
      <x:c r="E4" s="17" t="str">
        <x:v>Elapsed [ms]</x:v>
      </x:c>
      <x:c r="F4" s="17" t="str">
        <x:v>Elapsed [s]</x:v>
      </x:c>
      <x:c r="G4" s="17" t="str">
        <x:v>Throughput eff. [rec/s]</x:v>
      </x:c>
      <x:c r="H4" s="17" t="str">
        <x:v>Busy misurato</x:v>
      </x:c>
      <x:c r="I4" s="17" t="str">
        <x:v>Backpressure</x:v>
      </x:c>
      <x:c r="J4" s="17" t="str">
        <x:v>Speedup</x:v>
      </x:c>
      <x:c r="K4" s="17" t="str">
        <x:v>Efficienza</x:v>
      </x:c>
      <x:c r="L4" s="18" t="str">
        <x:v>Riduzione tempo</x:v>
      </x:c>
    </x:row>
    <x:row r="5">
      <x:c r="A5" s="60" t="str">
        <x:v>Q1</x:v>
      </x:c>
      <x:c r="B5" s="61" t="n">
        <x:v>1</x:v>
      </x:c>
      <x:c r="C5" s="61" t="n">
        <x:v>1</x:v>
      </x:c>
      <x:c r="D5" s="62" t="n">
        <x:v>2229457</x:v>
      </x:c>
      <x:c r="E5" s="62" t="n">
        <x:v>8547</x:v>
      </x:c>
      <x:c r="F5" s="63" t="n">
        <x:f>E5/1000</x:f>
        <x:v>8.547</x:v>
      </x:c>
      <x:c r="G5" s="62" t="n">
        <x:f>D5/F5</x:f>
        <x:v>260846.72984672984</x:v>
      </x:c>
      <x:c r="H5" s="64" t="n">
        <x:v>0.422</x:v>
      </x:c>
      <x:c r="I5" s="64" t="n">
        <x:v>0</x:v>
      </x:c>
      <x:c r="J5" s="65" t="n">
        <x:f>$F$5/F5</x:f>
        <x:v>1</x:v>
      </x:c>
      <x:c r="K5" s="64" t="n">
        <x:f>J5/B5</x:f>
        <x:v>1</x:v>
      </x:c>
      <x:c r="L5" s="64" t="n">
        <x:f>1-F5/$F$5</x:f>
        <x:v>0</x:v>
      </x:c>
    </x:row>
    <x:row r="6">
      <x:c r="A6" s="66" t="str">
        <x:v>Q1</x:v>
      </x:c>
      <x:c r="B6" s="67" t="n">
        <x:v>2</x:v>
      </x:c>
      <x:c r="C6" s="67" t="n">
        <x:v>2</x:v>
      </x:c>
      <x:c r="D6" s="68" t="n">
        <x:v>2229457</x:v>
      </x:c>
      <x:c r="E6" s="68" t="n">
        <x:v>6797</x:v>
      </x:c>
      <x:c r="F6" s="69" t="n">
        <x:f>E6/1000</x:f>
        <x:v>6.797</x:v>
      </x:c>
      <x:c r="G6" s="68" t="n">
        <x:f>D6/F6</x:f>
        <x:v>328006.0320729734</x:v>
      </x:c>
      <x:c r="H6" s="70" t="n">
        <x:v>0.288</x:v>
      </x:c>
      <x:c r="I6" s="70" t="n">
        <x:v>0</x:v>
      </x:c>
      <x:c r="J6" s="71" t="n">
        <x:f>$F$5/F6</x:f>
        <x:v>1.2574665293511844</x:v>
      </x:c>
      <x:c r="K6" s="70" t="n">
        <x:f>J6/B6</x:f>
        <x:v>0.6287332646755922</x:v>
      </x:c>
      <x:c r="L6" s="70" t="n">
        <x:f>1-F6/$F$5</x:f>
        <x:v>0.2047502047502049</x:v>
      </x:c>
    </x:row>
    <x:row r="7">
      <x:c r="A7" s="66" t="str">
        <x:v>Q1</x:v>
      </x:c>
      <x:c r="B7" s="67" t="n">
        <x:v>4</x:v>
      </x:c>
      <x:c r="C7" s="67" t="n">
        <x:v>4</x:v>
      </x:c>
      <x:c r="D7" s="68" t="n">
        <x:v>2229457</x:v>
      </x:c>
      <x:c r="E7" s="68" t="n">
        <x:v>5766</x:v>
      </x:c>
      <x:c r="F7" s="69" t="n">
        <x:f>E7/1000</x:f>
        <x:v>5.766</x:v>
      </x:c>
      <x:c r="G7" s="68" t="n">
        <x:f>D7/F7</x:f>
        <x:v>386655.74054804025</x:v>
      </x:c>
      <x:c r="H7" s="70" t="n">
        <x:v>0.24</x:v>
      </x:c>
      <x:c r="I7" s="70" t="n">
        <x:v>0</x:v>
      </x:c>
      <x:c r="J7" s="71" t="n">
        <x:f>$F$5/F7</x:f>
        <x:v>1.4823100936524454</x:v>
      </x:c>
      <x:c r="K7" s="70" t="n">
        <x:f>J7/B7</x:f>
        <x:v>0.37057752341311134</x:v>
      </x:c>
      <x:c r="L7" s="70" t="n">
        <x:f>1-F7/$F$5</x:f>
        <x:v>0.32537732537732544</x:v>
      </x:c>
    </x:row>
    <x:row r="8">
      <x:c r="A8" s="24" t="str">
        <x:v>Q2</x:v>
      </x:c>
      <x:c r="B8" s="25" t="n">
        <x:v>1</x:v>
      </x:c>
      <x:c r="C8" s="25" t="n">
        <x:v>1</x:v>
      </x:c>
      <x:c r="D8" s="72" t="n">
        <x:v>2229457</x:v>
      </x:c>
      <x:c r="E8" s="72" t="n">
        <x:v>14954</x:v>
      </x:c>
      <x:c r="F8" s="73" t="n">
        <x:f>E8/1000</x:f>
        <x:v>14.954</x:v>
      </x:c>
      <x:c r="G8" s="72" t="n">
        <x:f>D8/F8</x:f>
        <x:v>149087.6688511435</x:v>
      </x:c>
      <x:c r="H8" s="74" t="n">
        <x:v>0.484</x:v>
      </x:c>
      <x:c r="I8" s="74" t="n">
        <x:v>0.248</x:v>
      </x:c>
      <x:c r="J8" s="75" t="n">
        <x:f>$F$8/F8</x:f>
        <x:v>1</x:v>
      </x:c>
      <x:c r="K8" s="74" t="n">
        <x:f>J8/B8</x:f>
        <x:v>1</x:v>
      </x:c>
      <x:c r="L8" s="74" t="n">
        <x:f>1-F8/$F$8</x:f>
        <x:v>0</x:v>
      </x:c>
    </x:row>
    <x:row r="9">
      <x:c r="A9" s="24" t="str">
        <x:v>Q2</x:v>
      </x:c>
      <x:c r="B9" s="25" t="n">
        <x:v>2</x:v>
      </x:c>
      <x:c r="C9" s="25" t="n">
        <x:v>2</x:v>
      </x:c>
      <x:c r="D9" s="72" t="n">
        <x:v>2229457</x:v>
      </x:c>
      <x:c r="E9" s="72" t="n">
        <x:v>14828</x:v>
      </x:c>
      <x:c r="F9" s="73" t="n">
        <x:f>E9/1000</x:f>
        <x:v>14.828</x:v>
      </x:c>
      <x:c r="G9" s="72" t="n">
        <x:f>D9/F9</x:f>
        <x:v>150354.53196654978</x:v>
      </x:c>
      <x:c r="H9" s="74" t="n">
        <x:v>0.597</x:v>
      </x:c>
      <x:c r="I9" s="74" t="n">
        <x:v>0.243</x:v>
      </x:c>
      <x:c r="J9" s="75" t="n">
        <x:f>$F$8/F9</x:f>
        <x:v>1.0084974372808202</x:v>
      </x:c>
      <x:c r="K9" s="74" t="n">
        <x:f>J9/B9</x:f>
        <x:v>0.5042487186404101</x:v>
      </x:c>
      <x:c r="L9" s="74" t="n">
        <x:f>1-F9/$F$8</x:f>
        <x:v>0.00842583924033713</x:v>
      </x:c>
    </x:row>
    <x:row r="10">
      <x:c r="A10" s="24" t="str">
        <x:v>Q2</x:v>
      </x:c>
      <x:c r="B10" s="25" t="n">
        <x:v>4</x:v>
      </x:c>
      <x:c r="C10" s="25" t="n">
        <x:v>4</x:v>
      </x:c>
      <x:c r="D10" s="72" t="n">
        <x:v>2229457</x:v>
      </x:c>
      <x:c r="E10" s="72" t="n">
        <x:v>9844</x:v>
      </x:c>
      <x:c r="F10" s="73" t="n">
        <x:f>E10/1000</x:f>
        <x:v>9.844</x:v>
      </x:c>
      <x:c r="G10" s="72" t="n">
        <x:f>D10/F10</x:f>
        <x:v>226478.7687931735</x:v>
      </x:c>
      <x:c r="H10" s="74" t="n">
        <x:v>0.573</x:v>
      </x:c>
      <x:c r="I10" s="74" t="n">
        <x:v>0.256</x:v>
      </x:c>
      <x:c r="J10" s="75" t="n">
        <x:f>$F$8/F10</x:f>
        <x:v>1.5190979276716783</x:v>
      </x:c>
      <x:c r="K10" s="74" t="n">
        <x:f>J10/B10</x:f>
        <x:v>0.37977448191791957</x:v>
      </x:c>
      <x:c r="L10" s="74" t="n">
        <x:f>1-F10/$F$8</x:f>
        <x:v>0.34171459141366867</x:v>
      </x:c>
    </x:row>
    <x:row r="11">
      <x:c r="A11" s="76" t="str">
        <x:v>Q3</x:v>
      </x:c>
      <x:c r="B11" s="77" t="n">
        <x:v>1</x:v>
      </x:c>
      <x:c r="C11" s="77" t="n">
        <x:v>1</x:v>
      </x:c>
      <x:c r="D11" s="78" t="n">
        <x:v>2229457</x:v>
      </x:c>
      <x:c r="E11" s="78" t="n">
        <x:v>204328</x:v>
      </x:c>
      <x:c r="F11" s="79" t="n">
        <x:f>E11/1000</x:f>
        <x:v>204.328</x:v>
      </x:c>
      <x:c r="G11" s="78" t="n">
        <x:f>D11/F11</x:f>
        <x:v>10911.167338788615</x:v>
      </x:c>
      <x:c r="H11" s="80" t="n">
        <x:v>0.941</x:v>
      </x:c>
      <x:c r="I11" s="80" t="n">
        <x:v>0.271</x:v>
      </x:c>
      <x:c r="J11" s="81" t="n">
        <x:f>$F$11/F11</x:f>
        <x:v>1</x:v>
      </x:c>
      <x:c r="K11" s="80" t="n">
        <x:f>J11/B11</x:f>
        <x:v>1</x:v>
      </x:c>
      <x:c r="L11" s="80" t="n">
        <x:f>1-F11/$F$11</x:f>
        <x:v>0</x:v>
      </x:c>
    </x:row>
    <x:row r="12">
      <x:c r="A12" s="76" t="str">
        <x:v>Q3</x:v>
      </x:c>
      <x:c r="B12" s="77" t="n">
        <x:v>2</x:v>
      </x:c>
      <x:c r="C12" s="77" t="n">
        <x:v>2</x:v>
      </x:c>
      <x:c r="D12" s="78" t="n">
        <x:v>2229457</x:v>
      </x:c>
      <x:c r="E12" s="78" t="n">
        <x:v>117094</x:v>
      </x:c>
      <x:c r="F12" s="79" t="n">
        <x:f>E12/1000</x:f>
        <x:v>117.094</x:v>
      </x:c>
      <x:c r="G12" s="78" t="n">
        <x:f>D12/F12</x:f>
        <x:v>19039.891027721318</x:v>
      </x:c>
      <x:c r="H12" s="80" t="n">
        <x:v>0.914</x:v>
      </x:c>
      <x:c r="I12" s="80" t="n">
        <x:v>0.327</x:v>
      </x:c>
      <x:c r="J12" s="81" t="n">
        <x:f>$F$11/F12</x:f>
        <x:v>1.744991203648351</x:v>
      </x:c>
      <x:c r="K12" s="80" t="n">
        <x:f>J12/B12</x:f>
        <x:v>0.8724956018241755</x:v>
      </x:c>
      <x:c r="L12" s="80" t="n">
        <x:f>1-F12/$F$11</x:f>
        <x:v>0.42693120864492384</x:v>
      </x:c>
    </x:row>
    <x:row r="13">
      <x:c r="A13" s="82" t="str">
        <x:v>Q3</x:v>
      </x:c>
      <x:c r="B13" s="83" t="n">
        <x:v>4</x:v>
      </x:c>
      <x:c r="C13" s="83" t="n">
        <x:v>4</x:v>
      </x:c>
      <x:c r="D13" s="84" t="n">
        <x:v>2229457</x:v>
      </x:c>
      <x:c r="E13" s="84" t="n">
        <x:v>84547</x:v>
      </x:c>
      <x:c r="F13" s="85" t="n">
        <x:f>E13/1000</x:f>
        <x:v>84.547</x:v>
      </x:c>
      <x:c r="G13" s="84" t="n">
        <x:f>D13/F13</x:f>
        <x:v>26369.439483364284</x:v>
      </x:c>
      <x:c r="H13" s="86" t="n">
        <x:v>0.889</x:v>
      </x:c>
      <x:c r="I13" s="86" t="n">
        <x:v>0.407</x:v>
      </x:c>
      <x:c r="J13" s="87" t="n">
        <x:f>$F$11/F13</x:f>
        <x:v>2.4167386187564315</x:v>
      </x:c>
      <x:c r="K13" s="86" t="n">
        <x:f>J13/B13</x:f>
        <x:v>0.6041846546891079</x:v>
      </x:c>
      <x:c r="L13" s="86" t="n">
        <x:f>1-F13/$F$11</x:f>
        <x:v>0.586219216162249</x:v>
      </x:c>
    </x:row>
    <x:row r="15">
      <x:c r="A15" s="88" t="str">
        <x:v>Busy misurato: media temporale del massimo osservato tra vertici/subtasks, non media di tutti gli operatori.</x:v>
      </x:c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</x:row>
  </x:sheetData>
  <x:mergeCells>
    <x:mergeCell ref="A1:L1"/>
    <x:mergeCell ref="A2:L2"/>
    <x:mergeCell ref="A15:L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Dati per grafico — speedup normalizzato</x:v>
      </x:c>
      <x:c r="B1" s="4" t="str">
        <x:v>Dati per grafico — speedup normalizzato</x:v>
      </x:c>
      <x:c r="C1" s="4" t="str">
        <x:v>Dati per grafico — speedup normalizzato</x:v>
      </x:c>
      <x:c r="D1" s="4" t="str">
        <x:v>Dati per grafico — speedup normalizzato</x:v>
      </x:c>
      <x:c r="E1" s="4" t="str">
        <x:v>Dati per grafico — speedup normalizzato</x:v>
      </x:c>
    </x:row>
    <x:row r="3" ht="28" customHeight="1">
      <x:c r="A3" s="89" t="str">
        <x:v>Parallelismo</x:v>
      </x:c>
      <x:c r="B3" s="89" t="str">
        <x:v>Q1</x:v>
      </x:c>
      <x:c r="C3" s="89" t="str">
        <x:v>Q2</x:v>
      </x:c>
      <x:c r="D3" s="89" t="str">
        <x:v>Q3</x:v>
      </x:c>
      <x:c r="E3" s="89" t="str">
        <x:v>Ideale</x:v>
      </x:c>
    </x:row>
    <x:row r="4">
      <x:c r="A4" s="90" t="n">
        <x:v>1</x:v>
      </x:c>
      <x:c r="B4" s="91" t="n">
        <x:f>'Risultati'!J5</x:f>
        <x:v>1</x:v>
      </x:c>
      <x:c r="C4" s="91" t="n">
        <x:f>'Risultati'!J8</x:f>
        <x:v>1</x:v>
      </x:c>
      <x:c r="D4" s="91" t="n">
        <x:f>'Risultati'!J11</x:f>
        <x:v>1</x:v>
      </x:c>
      <x:c r="E4" s="91" t="n">
        <x:f>A4</x:f>
        <x:v>1</x:v>
      </x:c>
    </x:row>
    <x:row r="5">
      <x:c r="A5" s="90" t="n">
        <x:v>2</x:v>
      </x:c>
      <x:c r="B5" s="91" t="n">
        <x:f>'Risultati'!J6</x:f>
        <x:v>1.2574665293511844</x:v>
      </x:c>
      <x:c r="C5" s="91" t="n">
        <x:f>'Risultati'!J9</x:f>
        <x:v>1.0084974372808202</x:v>
      </x:c>
      <x:c r="D5" s="91" t="n">
        <x:f>'Risultati'!J12</x:f>
        <x:v>1.744991203648351</x:v>
      </x:c>
      <x:c r="E5" s="91" t="n">
        <x:f>A5</x:f>
        <x:v>2</x:v>
      </x:c>
    </x:row>
    <x:row r="6">
      <x:c r="A6" s="90" t="n">
        <x:v>4</x:v>
      </x:c>
      <x:c r="B6" s="91" t="n">
        <x:f>'Risultati'!J7</x:f>
        <x:v>1.4823100936524454</x:v>
      </x:c>
      <x:c r="C6" s="91" t="n">
        <x:f>'Risultati'!J10</x:f>
        <x:v>1.5190979276716783</x:v>
      </x:c>
      <x:c r="D6" s="91" t="n">
        <x:f>'Risultati'!J13</x:f>
        <x:v>2.4167386187564315</x:v>
      </x:c>
      <x:c r="E6" s="91" t="n">
        <x:f>A6</x:f>
        <x:v>4</x:v>
      </x:c>
    </x:row>
    <x:row r="8">
      <x:c r="A8" s="27" t="str">
        <x:v>Per la slide: grafico a linee con p sull’asse x, speedup sull’asse y e linea ideale tratteggiata.</x:v>
      </x:c>
      <x:c r="B8" s="27"/>
      <x:c r="C8" s="27"/>
      <x:c r="D8" s="27"/>
      <x:c r="E8" s="27"/>
    </x:row>
  </x:sheetData>
  <x:mergeCells>
    <x:mergeCell ref="A1:E1"/>
    <x:mergeCell ref="A8:E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24" hidden="0" customWidth="1"/>
    <x:col min="5" max="5" width="17" hidden="0" customWidth="1"/>
    <x:col min="6" max="6" width="18" hidden="0" customWidth="1"/>
  </x:cols>
  <x:sheetData>
    <x:row r="1" ht="30" customHeight="1">
      <x:c r="A1" s="4" t="str">
        <x:v>Tabelle pronte per le slide</x:v>
      </x:c>
      <x:c r="B1" s="4" t="str">
        <x:v>Tabelle pronte per le slide</x:v>
      </x:c>
      <x:c r="C1" s="4" t="str">
        <x:v>Tabelle pronte per le slide</x:v>
      </x:c>
      <x:c r="D1" s="4" t="str">
        <x:v>Tabelle pronte per le slide</x:v>
      </x:c>
      <x:c r="E1" s="4" t="str">
        <x:v>Tabelle pronte per le slide</x:v>
      </x:c>
      <x:c r="F1" s="4" t="str">
        <x:v>Tabelle pronte per le slide</x:v>
      </x:c>
    </x:row>
    <x:row r="2">
      <x:c r="A2" s="34"/>
      <x:c r="B2" s="34"/>
      <x:c r="C2" s="34"/>
      <x:c r="D2" s="34"/>
      <x:c r="E2" s="34"/>
      <x:c r="F2" s="34"/>
    </x:row>
    <x:row r="3">
      <x:c r="A3" s="97" t="str">
        <x:v>1. Configurazione sperimentale</x:v>
      </x:c>
      <x:c r="B3" s="98"/>
      <x:c r="C3" s="98"/>
      <x:c r="D3" s="98"/>
      <x:c r="E3" s="98"/>
      <x:c r="F3" s="99"/>
    </x:row>
    <x:row r="4" ht="28" customHeight="1">
      <x:c r="A4" s="100" t="str">
        <x:v>Parametro</x:v>
      </x:c>
      <x:c r="B4" s="101" t="str">
        <x:v>Valore</x:v>
      </x:c>
      <x:c r="C4" s="34"/>
      <x:c r="D4" s="34"/>
      <x:c r="E4" s="34"/>
      <x:c r="F4" s="34"/>
    </x:row>
    <x:row r="5">
      <x:c r="A5" s="133" t="str">
        <x:v>Input</x:v>
      </x:c>
      <x:c r="B5" s="39" t="str">
        <x:v>2.229.457 eventi pre-caricati su Kafka</x:v>
      </x:c>
      <x:c r="C5" s="34"/>
      <x:c r="D5" s="34"/>
      <x:c r="E5" s="34"/>
      <x:c r="F5" s="34"/>
    </x:row>
    <x:row r="6">
      <x:c r="A6" s="133" t="str">
        <x:v>Producer</x:v>
      </x:c>
      <x:c r="B6" s="39" t="str">
        <x:v>Escluso durante la misura</x:v>
      </x:c>
      <x:c r="C6" s="34"/>
      <x:c r="D6" s="34"/>
      <x:c r="E6" s="34"/>
      <x:c r="F6" s="34"/>
    </x:row>
    <x:row r="7">
      <x:c r="A7" s="133" t="str">
        <x:v>Configurazioni</x:v>
      </x:c>
      <x:c r="B7" s="39" t="str">
        <x:v>p=n ∈ {1, 2, 4}</x:v>
      </x:c>
      <x:c r="C7" s="34"/>
      <x:c r="D7" s="34"/>
      <x:c r="E7" s="34"/>
      <x:c r="F7" s="34"/>
    </x:row>
    <x:row r="8">
      <x:c r="A8" s="133" t="str">
        <x:v>Cluster</x:v>
      </x:c>
      <x:c r="B8" s="39" t="str">
        <x:v>1 TaskManager, 8 slot</x:v>
      </x:c>
      <x:c r="C8" s="34"/>
      <x:c r="D8" s="34"/>
      <x:c r="E8" s="34"/>
      <x:c r="F8" s="34"/>
    </x:row>
    <x:row r="9">
      <x:c r="A9" s="133" t="str">
        <x:v>Query</x:v>
      </x:c>
      <x:c r="B9" s="39" t="str">
        <x:v>Q1–1h; Q2–1h; Q3–1d</x:v>
      </x:c>
      <x:c r="C9" s="34"/>
      <x:c r="D9" s="34"/>
      <x:c r="E9" s="34"/>
      <x:c r="F9" s="34"/>
    </x:row>
    <x:row r="10">
      <x:c r="A10" s="134" t="str">
        <x:v>Metrica</x:v>
      </x:c>
      <x:c r="B10" s="135" t="str">
        <x:v>Tempo di drain del backlog</x:v>
      </x:c>
      <x:c r="C10" s="34"/>
      <x:c r="D10" s="34"/>
      <x:c r="E10" s="34"/>
      <x:c r="F10" s="34"/>
    </x:row>
    <x:row r="11">
      <x:c r="A11" s="34"/>
      <x:c r="B11" s="34"/>
      <x:c r="C11" s="34"/>
      <x:c r="D11" s="34"/>
      <x:c r="E11" s="34"/>
      <x:c r="F11" s="34"/>
    </x:row>
    <x:row r="12">
      <x:c r="A12" s="107" t="str">
        <x:v>2. Risultati complessivi</x:v>
      </x:c>
      <x:c r="B12" s="108"/>
      <x:c r="C12" s="108"/>
      <x:c r="D12" s="108"/>
      <x:c r="E12" s="108"/>
      <x:c r="F12" s="109"/>
    </x:row>
    <x:row r="13" ht="28" customHeight="1">
      <x:c r="A13" s="16" t="str">
        <x:v>Query</x:v>
      </x:c>
      <x:c r="B13" s="17" t="str">
        <x:v>p1/n1 [s]</x:v>
      </x:c>
      <x:c r="C13" s="17" t="str">
        <x:v>p2/n2 [s]</x:v>
      </x:c>
      <x:c r="D13" s="17" t="str">
        <x:v>p4/n4 [s]</x:v>
      </x:c>
      <x:c r="E13" s="17" t="str">
        <x:v>Speedup p4</x:v>
      </x:c>
      <x:c r="F13" s="18" t="str">
        <x:v>Efficienza p4</x:v>
      </x:c>
    </x:row>
    <x:row r="14">
      <x:c r="A14" s="136" t="str">
        <x:f>'Risultati'!A5</x:f>
        <x:v>Q1</x:v>
      </x:c>
      <x:c r="B14" s="137" t="n">
        <x:f>'Risultati'!F5</x:f>
        <x:v>8.547</x:v>
      </x:c>
      <x:c r="C14" s="137" t="n">
        <x:f>'Risultati'!F6</x:f>
        <x:v>6.797</x:v>
      </x:c>
      <x:c r="D14" s="137" t="n">
        <x:f>'Risultati'!F7</x:f>
        <x:v>5.766</x:v>
      </x:c>
      <x:c r="E14" s="138" t="n">
        <x:f>'Risultati'!J7</x:f>
        <x:v>1.4823100936524454</x:v>
      </x:c>
      <x:c r="F14" s="139" t="n">
        <x:f>'Risultati'!K7</x:f>
        <x:v>0.37057752341311134</x:v>
      </x:c>
    </x:row>
    <x:row r="15">
      <x:c r="A15" s="136" t="str">
        <x:f>'Risultati'!A8</x:f>
        <x:v>Q2</x:v>
      </x:c>
      <x:c r="B15" s="137" t="n">
        <x:f>'Risultati'!F8</x:f>
        <x:v>14.954</x:v>
      </x:c>
      <x:c r="C15" s="137" t="n">
        <x:f>'Risultati'!F9</x:f>
        <x:v>14.828</x:v>
      </x:c>
      <x:c r="D15" s="137" t="n">
        <x:f>'Risultati'!F10</x:f>
        <x:v>9.844</x:v>
      </x:c>
      <x:c r="E15" s="138" t="n">
        <x:f>'Risultati'!J10</x:f>
        <x:v>1.5190979276716783</x:v>
      </x:c>
      <x:c r="F15" s="139" t="n">
        <x:f>'Risultati'!K10</x:f>
        <x:v>0.37977448191791957</x:v>
      </x:c>
    </x:row>
    <x:row r="16">
      <x:c r="A16" s="140" t="str">
        <x:f>'Risultati'!A11</x:f>
        <x:v>Q3</x:v>
      </x:c>
      <x:c r="B16" s="141" t="n">
        <x:f>'Risultati'!F11</x:f>
        <x:v>204.328</x:v>
      </x:c>
      <x:c r="C16" s="141" t="n">
        <x:f>'Risultati'!F12</x:f>
        <x:v>117.094</x:v>
      </x:c>
      <x:c r="D16" s="141" t="n">
        <x:f>'Risultati'!F13</x:f>
        <x:v>84.547</x:v>
      </x:c>
      <x:c r="E16" s="142" t="n">
        <x:f>'Risultati'!J13</x:f>
        <x:v>2.4167386187564315</x:v>
      </x:c>
      <x:c r="F16" s="143" t="n">
        <x:f>'Risultati'!K13</x:f>
        <x:v>0.6041846546891079</x:v>
      </x:c>
    </x:row>
    <x:row r="17">
      <x:c r="A17" s="34"/>
      <x:c r="B17" s="34"/>
      <x:c r="C17" s="34"/>
      <x:c r="D17" s="34"/>
      <x:c r="E17" s="34"/>
      <x:c r="F17" s="34"/>
    </x:row>
    <x:row r="18">
      <x:c r="A18" s="122" t="str">
        <x:v>3. Dettaglio Q3</x:v>
      </x:c>
      <x:c r="B18" s="123"/>
      <x:c r="C18" s="123"/>
      <x:c r="D18" s="123"/>
      <x:c r="E18" s="123"/>
      <x:c r="F18" s="124"/>
    </x:row>
    <x:row r="19" ht="28" customHeight="1">
      <x:c r="A19" s="89" t="str">
        <x:v>p</x:v>
      </x:c>
      <x:c r="B19" s="89" t="str">
        <x:v>n</x:v>
      </x:c>
      <x:c r="C19" s="89" t="str">
        <x:v>Elapsed [s]</x:v>
      </x:c>
      <x:c r="D19" s="89" t="str">
        <x:v>Throughput [rec/s]</x:v>
      </x:c>
      <x:c r="E19" s="89" t="str">
        <x:v>Speedup</x:v>
      </x:c>
      <x:c r="F19" s="89" t="str">
        <x:v>Backpressure</x:v>
      </x:c>
    </x:row>
    <x:row r="20">
      <x:c r="A20" s="144" t="n">
        <x:f>'Risultati'!B11</x:f>
        <x:v>1</x:v>
      </x:c>
      <x:c r="B20" s="144" t="n">
        <x:f>'Risultati'!C11</x:f>
        <x:v>1</x:v>
      </x:c>
      <x:c r="C20" s="137" t="n">
        <x:f>'Risultati'!F11</x:f>
        <x:v>204.328</x:v>
      </x:c>
      <x:c r="D20" s="145" t="n">
        <x:f>'Risultati'!G11</x:f>
        <x:v>10911.167338788615</x:v>
      </x:c>
      <x:c r="E20" s="138" t="n">
        <x:f>'Risultati'!J11</x:f>
        <x:v>1</x:v>
      </x:c>
      <x:c r="F20" s="146" t="n">
        <x:f>'Risultati'!I11</x:f>
        <x:v>0.271</x:v>
      </x:c>
    </x:row>
    <x:row r="21">
      <x:c r="A21" s="144" t="n">
        <x:f>'Risultati'!B12</x:f>
        <x:v>2</x:v>
      </x:c>
      <x:c r="B21" s="144" t="n">
        <x:f>'Risultati'!C12</x:f>
        <x:v>2</x:v>
      </x:c>
      <x:c r="C21" s="137" t="n">
        <x:f>'Risultati'!F12</x:f>
        <x:v>117.094</x:v>
      </x:c>
      <x:c r="D21" s="145" t="n">
        <x:f>'Risultati'!G12</x:f>
        <x:v>19039.891027721318</x:v>
      </x:c>
      <x:c r="E21" s="138" t="n">
        <x:f>'Risultati'!J12</x:f>
        <x:v>1.744991203648351</x:v>
      </x:c>
      <x:c r="F21" s="146" t="n">
        <x:f>'Risultati'!I12</x:f>
        <x:v>0.327</x:v>
      </x:c>
    </x:row>
    <x:row r="22">
      <x:c r="A22" s="147" t="n">
        <x:f>'Risultati'!B13</x:f>
        <x:v>4</x:v>
      </x:c>
      <x:c r="B22" s="147" t="n">
        <x:f>'Risultati'!C13</x:f>
        <x:v>4</x:v>
      </x:c>
      <x:c r="C22" s="141" t="n">
        <x:f>'Risultati'!F13</x:f>
        <x:v>84.547</x:v>
      </x:c>
      <x:c r="D22" s="148" t="n">
        <x:f>'Risultati'!G13</x:f>
        <x:v>26369.439483364284</x:v>
      </x:c>
      <x:c r="E22" s="142" t="n">
        <x:f>'Risultati'!J13</x:f>
        <x:v>2.4167386187564315</x:v>
      </x:c>
      <x:c r="F22" s="149" t="n">
        <x:f>'Risultati'!I13</x:f>
        <x:v>0.407</x:v>
      </x:c>
    </x:row>
    <x:row r="23">
      <x:c r="A23" s="34"/>
      <x:c r="B23" s="34"/>
      <x:c r="C23" s="34"/>
      <x:c r="D23" s="34"/>
      <x:c r="E23" s="34"/>
      <x:c r="F23" s="34"/>
    </x:row>
    <x:row r="24" ht="38" customHeight="1">
      <x:c r="A24" s="132" t="str">
        <x:v>Messaggio chiave: Q3 riduce il tempo di drain da 204,3 s a 84,5 s (−58,6%), con speedup 2,42× ed efficienza del 60,4% a p=4.</x:v>
      </x:c>
      <x:c r="B24" s="132"/>
      <x:c r="C24" s="132"/>
      <x:c r="D24" s="132"/>
      <x:c r="E24" s="132"/>
      <x:c r="F24" s="132"/>
    </x:row>
  </x:sheetData>
  <x:mergeCells>
    <x:mergeCell ref="A1:F1"/>
    <x:mergeCell ref="A3:F3"/>
    <x:mergeCell ref="A12:F12"/>
    <x:mergeCell ref="A18:F18"/>
    <x:mergeCell ref="A24:F24"/>
  </x:mergeCells>
  <x:pageMargins left="0.7" right="0.7" top="0.75" bottom="0.75" header="0.3" footer="0.3"/>
</x:worksheet>
</file>